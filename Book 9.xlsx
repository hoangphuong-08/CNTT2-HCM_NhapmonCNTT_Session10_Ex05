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9"/>
  <workbookPr/>
  <xr:revisionPtr revIDLastSave="0" documentId="8_{D65CF96F-D2C0-47D3-AFFC-29B971258C1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1" l="1"/>
  <c r="K4" i="1"/>
  <c r="K5" i="1"/>
  <c r="K2" i="1"/>
  <c r="J3" i="1"/>
  <c r="J4" i="1"/>
  <c r="J5" i="1"/>
  <c r="J2" i="1"/>
  <c r="I3" i="1"/>
  <c r="I4" i="1"/>
  <c r="I5" i="1"/>
  <c r="I2" i="1"/>
</calcChain>
</file>

<file path=xl/sharedStrings.xml><?xml version="1.0" encoding="utf-8"?>
<sst xmlns="http://schemas.openxmlformats.org/spreadsheetml/2006/main" count="34" uniqueCount="26">
  <si>
    <t>Virus_ID</t>
  </si>
  <si>
    <t>Ten_Ma_Doc</t>
  </si>
  <si>
    <t>Loai_Ma_Doc</t>
  </si>
  <si>
    <t>Muc_Do_Nguy_Hiem</t>
  </si>
  <si>
    <t>Log_ID</t>
  </si>
  <si>
    <t>Raw_Virus_Code</t>
  </si>
  <si>
    <t>Thoi_Gian</t>
  </si>
  <si>
    <t>MAL-RANS-01</t>
  </si>
  <si>
    <t>LockBit Variant</t>
  </si>
  <si>
    <t>Ransomware</t>
  </si>
  <si>
    <t>Critical</t>
  </si>
  <si>
    <t>LOG-901</t>
  </si>
  <si>
    <t>MAL-RANS-02</t>
  </si>
  <si>
    <t>Emotet Loader</t>
  </si>
  <si>
    <t>Trojan</t>
  </si>
  <si>
    <t>High</t>
  </si>
  <si>
    <t>LOG-902</t>
  </si>
  <si>
    <t>MAL-RANS-03</t>
  </si>
  <si>
    <t>AgentTesla</t>
  </si>
  <si>
    <t>Spyware</t>
  </si>
  <si>
    <t>Medium</t>
  </si>
  <si>
    <t>LOG-903</t>
  </si>
  <si>
    <t>MAL-RANS-04</t>
  </si>
  <si>
    <t>WannaMine</t>
  </si>
  <si>
    <t>Worm</t>
  </si>
  <si>
    <t>LOG-904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</si>
</sst>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K2" sqref="K2:K5"/>
    </sheetView>
  </sheetViews>
  <sheetFormatPr defaultRowHeight="15"/>
  <cols>
    <col min="1" max="1" width="14.140625" customWidth="1"/>
    <col min="2" max="2" width="13.42578125" customWidth="1"/>
    <col min="3" max="3" width="12.28515625" customWidth="1"/>
    <col min="4" max="4" width="20.7109375" customWidth="1"/>
    <col min="7" max="7" width="16.5703125" customWidth="1"/>
    <col min="8" max="8" width="11.5703125" customWidth="1"/>
    <col min="9" max="9" width="13.85546875" customWidth="1"/>
    <col min="10" max="10" width="14.7109375" customWidth="1"/>
    <col min="11" max="11" width="19.140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1</v>
      </c>
      <c r="J1" t="s">
        <v>2</v>
      </c>
      <c r="K1" t="s">
        <v>3</v>
      </c>
    </row>
    <row r="2" spans="1:11">
      <c r="A2" t="s">
        <v>7</v>
      </c>
      <c r="B2" t="s">
        <v>8</v>
      </c>
      <c r="C2" t="s">
        <v>9</v>
      </c>
      <c r="D2" t="s">
        <v>10</v>
      </c>
      <c r="F2" t="s">
        <v>11</v>
      </c>
      <c r="G2" t="s">
        <v>7</v>
      </c>
      <c r="H2" s="1">
        <v>0.13567129629629629</v>
      </c>
      <c r="I2" t="str">
        <f>VLOOKUP(TRIM(G2),$A$2:$D$5,2,FALSE)</f>
        <v>LockBit Variant</v>
      </c>
      <c r="J2" t="str">
        <f>VLOOKUP(TRIM(G2),$A$2:$D$5,3,FALSE)</f>
        <v>Ransomware</v>
      </c>
      <c r="K2" t="str">
        <f>VLOOKUP(TRIM(G2),$A$2:$D$5,4,FALSE)</f>
        <v>Critical</v>
      </c>
    </row>
    <row r="3" spans="1:11">
      <c r="A3" t="s">
        <v>12</v>
      </c>
      <c r="B3" t="s">
        <v>13</v>
      </c>
      <c r="C3" t="s">
        <v>14</v>
      </c>
      <c r="D3" t="s">
        <v>15</v>
      </c>
      <c r="F3" t="s">
        <v>16</v>
      </c>
      <c r="G3" t="s">
        <v>12</v>
      </c>
      <c r="H3" s="1">
        <v>0.13616898148148149</v>
      </c>
      <c r="I3" t="str">
        <f t="shared" ref="I3:I5" si="0">VLOOKUP(TRIM(G3),$A$2:$D$5,2,FALSE)</f>
        <v>Emotet Loader</v>
      </c>
      <c r="J3" t="str">
        <f t="shared" ref="J3:J5" si="1">VLOOKUP(TRIM(G3),$A$2:$D$5,3,FALSE)</f>
        <v>Trojan</v>
      </c>
      <c r="K3" t="str">
        <f t="shared" ref="K3:K5" si="2">VLOOKUP(TRIM(G3),$A$2:$D$5,4,FALSE)</f>
        <v>High</v>
      </c>
    </row>
    <row r="4" spans="1:11">
      <c r="A4" t="s">
        <v>17</v>
      </c>
      <c r="B4" t="s">
        <v>18</v>
      </c>
      <c r="C4" t="s">
        <v>19</v>
      </c>
      <c r="D4" t="s">
        <v>20</v>
      </c>
      <c r="F4" t="s">
        <v>21</v>
      </c>
      <c r="G4" t="s">
        <v>17</v>
      </c>
      <c r="H4" s="1">
        <v>0.13796296296296295</v>
      </c>
      <c r="I4" t="str">
        <f t="shared" si="0"/>
        <v>AgentTesla</v>
      </c>
      <c r="J4" t="str">
        <f t="shared" si="1"/>
        <v>Spyware</v>
      </c>
      <c r="K4" t="str">
        <f t="shared" si="2"/>
        <v>Medium</v>
      </c>
    </row>
    <row r="5" spans="1:11">
      <c r="A5" t="s">
        <v>22</v>
      </c>
      <c r="B5" t="s">
        <v>23</v>
      </c>
      <c r="C5" t="s">
        <v>24</v>
      </c>
      <c r="D5" t="s">
        <v>15</v>
      </c>
      <c r="F5" t="s">
        <v>25</v>
      </c>
      <c r="G5" t="s">
        <v>22</v>
      </c>
      <c r="H5" s="1">
        <v>0.13901620370370371</v>
      </c>
      <c r="I5" t="str">
        <f t="shared" si="0"/>
        <v>WannaMine</v>
      </c>
      <c r="J5" t="str">
        <f t="shared" si="1"/>
        <v>Worm</v>
      </c>
      <c r="K5" t="str">
        <f t="shared" si="2"/>
        <v>High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2026-10-26T16:49:45Z</dcterms:created>
  <dcterms:modified xsi:type="dcterms:W3CDTF">2026-10-26T17:01:15Z</dcterms:modified>
  <cp:category/>
  <cp:contentStatus/>
</cp:coreProperties>
</file>